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6970" yWindow="3900" windowWidth="24000" windowHeight="14250" tabRatio="600" firstSheet="0" activeTab="0" autoFilterDateGrouping="1"/>
  </bookViews>
  <sheets>
    <sheet name="청구서" sheetId="1" state="visible" r:id="rId1"/>
    <sheet name="청구서 BackUp" sheetId="2" state="visible" r:id="rId2"/>
    <sheet name="청구서(sample)" sheetId="3" state="visible" r:id="rId3"/>
  </sheets>
  <definedNames>
    <definedName name="_xlnm.Print_Titles" localSheetId="0">'청구서'!$19:$19</definedName>
    <definedName name="_xlnm.Print_Titles" localSheetId="1">'청구서 BackUp'!$19:$19</definedName>
    <definedName name="_xlnm.Print_Titles" localSheetId="2">'청구서(sample)'!$19:$19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/d"/>
    <numFmt numFmtId="165" formatCode="#,##0;[Red]\-#,##0;"/>
    <numFmt numFmtId="166" formatCode="#,###"/>
    <numFmt numFmtId="167" formatCode="&quot;₩&quot;#,##0_);[Red]\(&quot;₩&quot;#,##0\)"/>
    <numFmt numFmtId="168" formatCode="&quot;¥&quot;#,##0_);[Red]\(&quot;¥&quot;#,##0\)"/>
  </numFmts>
  <fonts count="7">
    <font>
      <name val="맑은 고딕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맑은 고딕"/>
      <charset val="128"/>
      <family val="2"/>
      <color theme="1"/>
      <sz val="11"/>
      <scheme val="minor"/>
    </font>
    <font>
      <name val="맑은 고딕"/>
      <charset val="128"/>
      <family val="3"/>
      <b val="1"/>
      <color theme="1"/>
      <sz val="20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">
    <xf numFmtId="0" fontId="2" fillId="0" borderId="0" applyAlignment="1">
      <alignment vertical="center"/>
    </xf>
    <xf numFmtId="0" fontId="1" fillId="0" borderId="0"/>
    <xf numFmtId="38" fontId="1" fillId="0" borderId="0"/>
    <xf numFmtId="38" fontId="2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8" fontId="0" fillId="0" borderId="1" applyAlignment="1" pivotButton="0" quotePrefix="0" xfId="3">
      <alignment vertical="center"/>
    </xf>
    <xf numFmtId="165" fontId="0" fillId="0" borderId="1" applyAlignment="1" pivotButton="0" quotePrefix="0" xfId="3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38" fontId="0" fillId="0" borderId="12" applyAlignment="1" pivotButton="0" quotePrefix="0" xfId="3">
      <alignment vertical="center"/>
    </xf>
    <xf numFmtId="165" fontId="0" fillId="0" borderId="12" applyAlignment="1" pivotButton="0" quotePrefix="0" xfId="3">
      <alignment vertical="center"/>
    </xf>
    <xf numFmtId="166" fontId="0" fillId="0" borderId="1" applyAlignment="1" pivotButton="0" quotePrefix="0" xfId="3">
      <alignment vertical="center"/>
    </xf>
    <xf numFmtId="164" fontId="0" fillId="0" borderId="15" applyAlignment="1" pivotButton="0" quotePrefix="0" xfId="0">
      <alignment vertical="center"/>
    </xf>
    <xf numFmtId="38" fontId="0" fillId="0" borderId="15" applyAlignment="1" pivotButton="0" quotePrefix="0" xfId="3">
      <alignment vertical="center"/>
    </xf>
    <xf numFmtId="166" fontId="0" fillId="0" borderId="15" applyAlignment="1" pivotButton="0" quotePrefix="0" xfId="3">
      <alignment vertical="center"/>
    </xf>
    <xf numFmtId="0" fontId="0" fillId="0" borderId="1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164" fontId="2" fillId="0" borderId="15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38" fontId="2" fillId="0" borderId="15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vertical="center"/>
    </xf>
    <xf numFmtId="167" fontId="0" fillId="0" borderId="1" applyAlignment="1" pivotButton="0" quotePrefix="0" xfId="3">
      <alignment horizontal="center" vertical="center"/>
    </xf>
    <xf numFmtId="0" fontId="0" fillId="0" borderId="6" pivotButton="0" quotePrefix="0" xfId="0"/>
    <xf numFmtId="0" fontId="3" fillId="0" borderId="8" applyAlignment="1" pivotButton="0" quotePrefix="0" xfId="0">
      <alignment vertical="center"/>
    </xf>
    <xf numFmtId="0" fontId="0" fillId="0" borderId="11" pivotButton="0" quotePrefix="0" xfId="0"/>
    <xf numFmtId="0" fontId="0" fillId="0" borderId="0" applyAlignment="1" pivotButton="0" quotePrefix="0" xfId="0">
      <alignment horizontal="left" vertical="center"/>
    </xf>
    <xf numFmtId="49" fontId="0" fillId="0" borderId="1" applyAlignment="1" pivotButton="0" quotePrefix="0" xfId="0">
      <alignment vertical="center"/>
    </xf>
    <xf numFmtId="0" fontId="0" fillId="0" borderId="8" pivotButton="0" quotePrefix="0" xfId="0"/>
    <xf numFmtId="0" fontId="0" fillId="0" borderId="16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167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3">
      <alignment horizontal="center" vertical="center"/>
    </xf>
    <xf numFmtId="0" fontId="5" fillId="0" borderId="12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5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8" fontId="0" fillId="0" borderId="1" applyAlignment="1" pivotButton="0" quotePrefix="0" xfId="3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8" fontId="0" fillId="0" borderId="1" applyAlignment="1" pivotButton="0" quotePrefix="0" xfId="3">
      <alignment horizontal="center" vertical="center"/>
    </xf>
    <xf numFmtId="168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3">
      <alignment horizontal="center" vertical="center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3">
      <alignment vertical="center"/>
    </xf>
    <xf numFmtId="164" fontId="0" fillId="0" borderId="15" applyAlignment="1" pivotButton="0" quotePrefix="0" xfId="0">
      <alignment vertical="center"/>
    </xf>
    <xf numFmtId="166" fontId="0" fillId="0" borderId="15" applyAlignment="1" pivotButton="0" quotePrefix="0" xfId="3">
      <alignment vertical="center"/>
    </xf>
    <xf numFmtId="164" fontId="0" fillId="0" borderId="12" applyAlignment="1" pivotButton="0" quotePrefix="0" xfId="0">
      <alignment vertical="center"/>
    </xf>
    <xf numFmtId="165" fontId="0" fillId="0" borderId="12" applyAlignment="1" pivotButton="0" quotePrefix="0" xfId="3">
      <alignment vertical="center"/>
    </xf>
    <xf numFmtId="165" fontId="0" fillId="0" borderId="1" applyAlignment="1" pivotButton="0" quotePrefix="0" xfId="3">
      <alignment vertical="center"/>
    </xf>
    <xf numFmtId="164" fontId="2" fillId="0" borderId="15" applyAlignment="1" pivotButton="0" quotePrefix="0" xfId="0">
      <alignment vertical="center"/>
    </xf>
    <xf numFmtId="49" fontId="0" fillId="0" borderId="15" applyAlignment="1" pivotButton="0" quotePrefix="0" xfId="0">
      <alignment vertical="center"/>
    </xf>
  </cellXfs>
  <cellStyles count="4">
    <cellStyle name="표준" xfId="0" builtinId="0"/>
    <cellStyle name="標準 2" xfId="1"/>
    <cellStyle name="桁区切り 2" xfId="2"/>
    <cellStyle name="쉼표 [0]" xfId="3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tabSelected="1" topLeftCell="A16" zoomScaleNormal="100" workbookViewId="0">
      <selection activeCell="H36" sqref="H36"/>
    </sheetView>
  </sheetViews>
  <sheetFormatPr baseColWidth="8" defaultColWidth="8.875" defaultRowHeight="16.5"/>
  <cols>
    <col width="18" customWidth="1" style="25" min="9" max="9"/>
  </cols>
  <sheetData>
    <row r="1">
      <c r="A1" s="7" t="n"/>
      <c r="B1" s="8" t="n"/>
      <c r="C1" s="8" t="n"/>
      <c r="D1" s="8" t="n"/>
      <c r="E1" s="8" t="n"/>
      <c r="F1" s="8" t="n"/>
      <c r="G1" s="8" t="n"/>
      <c r="H1" s="8" t="n"/>
      <c r="I1" s="58" t="n"/>
    </row>
    <row r="2" ht="18.95" customHeight="1" s="25">
      <c r="A2" s="10" t="n"/>
      <c r="B2" s="2" t="n"/>
      <c r="C2" s="2" t="n"/>
      <c r="D2" s="2" t="n"/>
      <c r="E2" s="2" t="inlineStr">
        <is>
          <t>청구서</t>
        </is>
      </c>
      <c r="F2" s="2" t="n"/>
      <c r="G2" s="2" t="n"/>
      <c r="H2" s="2" t="n"/>
      <c r="I2" s="38" t="n"/>
    </row>
    <row r="3" ht="18" customHeight="1" s="25">
      <c r="A3" s="10" t="n"/>
      <c r="I3" s="42" t="n"/>
    </row>
    <row r="4">
      <c r="I4" s="39" t="n"/>
    </row>
    <row r="5">
      <c r="A5" s="46" t="inlineStr">
        <is>
          <t>우편번호</t>
        </is>
      </c>
      <c r="B5" s="55" t="n"/>
      <c r="C5" s="47" t="n"/>
      <c r="D5" s="47" t="n"/>
      <c r="E5" s="47" t="n"/>
      <c r="F5" s="47" t="n"/>
      <c r="G5" s="48" t="n"/>
      <c r="H5" s="46" t="inlineStr">
        <is>
          <t>주식회사 대박</t>
        </is>
      </c>
      <c r="I5" s="48" t="n"/>
    </row>
    <row r="6">
      <c r="A6" s="46" t="inlineStr">
        <is>
          <t>주소</t>
        </is>
      </c>
      <c r="B6" s="46" t="n"/>
      <c r="C6" s="47" t="n"/>
      <c r="D6" s="47" t="n"/>
      <c r="E6" s="47" t="n"/>
      <c r="F6" s="47" t="n"/>
      <c r="G6" s="48" t="n"/>
      <c r="H6" s="55" t="n">
        <v>12345</v>
      </c>
      <c r="I6" s="48" t="n"/>
    </row>
    <row r="7">
      <c r="A7" s="41" t="inlineStr">
        <is>
          <t>거래처</t>
        </is>
      </c>
      <c r="B7" s="46" t="n"/>
      <c r="C7" s="47" t="n"/>
      <c r="D7" s="47" t="n"/>
      <c r="E7" s="47" t="n"/>
      <c r="F7" s="47" t="n"/>
      <c r="G7" s="48" t="n"/>
      <c r="H7" s="60" t="inlineStr">
        <is>
          <t>서울특별시 마포구 대박로 22</t>
        </is>
      </c>
      <c r="I7" s="48" t="n"/>
    </row>
    <row r="8">
      <c r="A8" s="46" t="n"/>
      <c r="B8" s="43" t="n"/>
      <c r="C8" s="45" t="n"/>
      <c r="D8" s="45" t="n"/>
      <c r="E8" s="45" t="n"/>
      <c r="F8" s="45" t="n"/>
      <c r="G8" s="44" t="n"/>
      <c r="H8" s="46" t="inlineStr">
        <is>
          <t>대박빌딩</t>
        </is>
      </c>
      <c r="I8" s="48" t="n"/>
    </row>
    <row r="10">
      <c r="H10" s="1" t="inlineStr">
        <is>
          <t>담당자：</t>
        </is>
      </c>
      <c r="I10" s="0" t="inlineStr">
        <is>
          <t>홍길동</t>
        </is>
      </c>
    </row>
    <row r="11">
      <c r="H11" s="1" t="inlineStr">
        <is>
          <t>전화：</t>
        </is>
      </c>
      <c r="I11" s="0" t="inlineStr">
        <is>
          <t>000-0000-0000</t>
        </is>
      </c>
    </row>
    <row r="13">
      <c r="H13" s="0" t="inlineStr">
        <is>
          <t>송장 발급자 등록 번호</t>
        </is>
      </c>
    </row>
    <row r="14">
      <c r="A14" s="40" t="inlineStr">
        <is>
          <t>아래 금액을 청구합니다</t>
        </is>
      </c>
      <c r="H14" s="0" t="inlineStr">
        <is>
          <t>DB234-4567-3423</t>
        </is>
      </c>
    </row>
    <row r="16">
      <c r="A16" s="54" t="inlineStr">
        <is>
          <t>이전 청구 금액</t>
        </is>
      </c>
      <c r="B16" s="48" t="n"/>
      <c r="C16" s="59" t="inlineStr">
        <is>
          <t>이번 입금액
이번 입금액</t>
        </is>
      </c>
      <c r="D16" s="48" t="n"/>
      <c r="E16" s="54" t="inlineStr">
        <is>
          <t>이번달 매출액</t>
        </is>
      </c>
      <c r="F16" s="48" t="n"/>
      <c r="G16" s="54" t="inlineStr">
        <is>
          <t>소비세</t>
        </is>
      </c>
      <c r="H16" s="48" t="n"/>
      <c r="I16" s="54" t="inlineStr">
        <is>
          <t>이번달 청구액</t>
        </is>
      </c>
    </row>
    <row r="17">
      <c r="A17" s="64" t="n"/>
      <c r="B17" s="48" t="n"/>
      <c r="C17" s="65" t="n"/>
      <c r="D17" s="48" t="n"/>
      <c r="E17" s="66">
        <f>H36</f>
        <v/>
      </c>
      <c r="F17" s="48" t="n"/>
      <c r="G17" s="67">
        <f>H37</f>
        <v/>
      </c>
      <c r="H17" s="48" t="n"/>
      <c r="I17" s="67">
        <f>=H36+H37</f>
        <v/>
      </c>
    </row>
    <row r="19">
      <c r="A19" s="54" t="inlineStr">
        <is>
          <t>날짜</t>
        </is>
      </c>
      <c r="B19" s="54" t="inlineStr">
        <is>
          <t>상품명</t>
        </is>
      </c>
      <c r="C19" s="47" t="n"/>
      <c r="D19" s="47" t="n"/>
      <c r="E19" s="48" t="n"/>
      <c r="F19" s="54" t="inlineStr">
        <is>
          <t>수량</t>
        </is>
      </c>
      <c r="G19" s="33" t="inlineStr">
        <is>
          <t>단가</t>
        </is>
      </c>
      <c r="H19" s="54" t="inlineStr">
        <is>
          <t>금액</t>
        </is>
      </c>
      <c r="I19" s="54" t="inlineStr">
        <is>
          <t>비고</t>
        </is>
      </c>
    </row>
    <row r="20">
      <c r="A20" s="68" t="n"/>
      <c r="B20" s="46" t="n"/>
      <c r="C20" s="47" t="n"/>
      <c r="D20" s="47" t="n"/>
      <c r="E20" s="48" t="n"/>
      <c r="F20" s="4" t="n"/>
      <c r="G20" s="4" t="n"/>
      <c r="H20" s="69">
        <f>F20*G20</f>
        <v/>
      </c>
      <c r="I20" s="46" t="n"/>
    </row>
    <row r="21">
      <c r="A21" s="68" t="n"/>
      <c r="B21" s="46" t="n"/>
      <c r="C21" s="47" t="n"/>
      <c r="D21" s="47" t="n"/>
      <c r="E21" s="48" t="n"/>
      <c r="F21" s="4" t="n"/>
      <c r="G21" s="4" t="n"/>
      <c r="H21" s="69">
        <f>F21*G21</f>
        <v/>
      </c>
      <c r="I21" s="46" t="n"/>
    </row>
    <row r="22">
      <c r="A22" s="68" t="n"/>
      <c r="B22" s="46" t="n"/>
      <c r="C22" s="47" t="n"/>
      <c r="D22" s="47" t="n"/>
      <c r="E22" s="48" t="n"/>
      <c r="F22" s="4" t="n"/>
      <c r="G22" s="4" t="n"/>
      <c r="H22" s="69">
        <f>F22*G22</f>
        <v/>
      </c>
      <c r="I22" s="46" t="n"/>
    </row>
    <row r="23">
      <c r="A23" s="68" t="n"/>
      <c r="B23" s="46" t="n"/>
      <c r="C23" s="47" t="n"/>
      <c r="D23" s="47" t="n"/>
      <c r="E23" s="48" t="n"/>
      <c r="F23" s="4" t="n"/>
      <c r="G23" s="4" t="n"/>
      <c r="H23" s="69">
        <f>F23*G23</f>
        <v/>
      </c>
      <c r="I23" s="46" t="n"/>
    </row>
    <row r="24">
      <c r="A24" s="68" t="n"/>
      <c r="B24" s="46" t="n"/>
      <c r="C24" s="47" t="n"/>
      <c r="D24" s="47" t="n"/>
      <c r="E24" s="48" t="n"/>
      <c r="F24" s="4" t="n"/>
      <c r="G24" s="4" t="n"/>
      <c r="H24" s="69">
        <f>F24*G24</f>
        <v/>
      </c>
      <c r="I24" s="46" t="n"/>
    </row>
    <row r="25">
      <c r="A25" s="68" t="n"/>
      <c r="B25" s="46" t="n"/>
      <c r="C25" s="47" t="n"/>
      <c r="D25" s="47" t="n"/>
      <c r="E25" s="48" t="n"/>
      <c r="F25" s="4" t="n"/>
      <c r="G25" s="4" t="n"/>
      <c r="H25" s="69">
        <f>F25*G25</f>
        <v/>
      </c>
      <c r="I25" s="46" t="n"/>
    </row>
    <row r="26">
      <c r="A26" s="68" t="n"/>
      <c r="B26" s="46" t="n"/>
      <c r="C26" s="47" t="n"/>
      <c r="D26" s="47" t="n"/>
      <c r="E26" s="48" t="n"/>
      <c r="F26" s="4" t="n"/>
      <c r="G26" s="4" t="n"/>
      <c r="H26" s="69">
        <f>F26*G26</f>
        <v/>
      </c>
      <c r="I26" s="46" t="n"/>
    </row>
    <row r="27">
      <c r="A27" s="68" t="n"/>
      <c r="B27" s="46" t="n"/>
      <c r="C27" s="47" t="n"/>
      <c r="D27" s="47" t="n"/>
      <c r="E27" s="48" t="n"/>
      <c r="F27" s="4" t="n"/>
      <c r="G27" s="4" t="n"/>
      <c r="H27" s="69">
        <f>F27*G27</f>
        <v/>
      </c>
      <c r="I27" s="46" t="n"/>
    </row>
    <row r="28">
      <c r="A28" s="68" t="n"/>
      <c r="B28" s="46" t="n"/>
      <c r="C28" s="47" t="n"/>
      <c r="D28" s="47" t="n"/>
      <c r="E28" s="48" t="n"/>
      <c r="F28" s="4" t="n"/>
      <c r="G28" s="4" t="n"/>
      <c r="H28" s="69">
        <f>F28*G28</f>
        <v/>
      </c>
      <c r="I28" s="46" t="n"/>
    </row>
    <row r="29">
      <c r="A29" s="68" t="n"/>
      <c r="B29" s="46" t="n"/>
      <c r="C29" s="47" t="n"/>
      <c r="D29" s="47" t="n"/>
      <c r="E29" s="48" t="n"/>
      <c r="F29" s="4" t="n"/>
      <c r="G29" s="4" t="n"/>
      <c r="H29" s="69">
        <f>F29*G29</f>
        <v/>
      </c>
      <c r="I29" s="46" t="n"/>
    </row>
    <row r="30">
      <c r="A30" s="68" t="n"/>
      <c r="B30" s="46" t="n"/>
      <c r="C30" s="47" t="n"/>
      <c r="D30" s="47" t="n"/>
      <c r="E30" s="48" t="n"/>
      <c r="F30" s="4" t="n"/>
      <c r="G30" s="4" t="n"/>
      <c r="H30" s="69">
        <f>F30*G30</f>
        <v/>
      </c>
      <c r="I30" s="46" t="n"/>
    </row>
    <row r="31">
      <c r="A31" s="68" t="n"/>
      <c r="B31" s="46" t="n"/>
      <c r="C31" s="47" t="n"/>
      <c r="D31" s="47" t="n"/>
      <c r="E31" s="48" t="n"/>
      <c r="F31" s="4" t="n"/>
      <c r="G31" s="4" t="n"/>
      <c r="H31" s="69">
        <f>F31*G31</f>
        <v/>
      </c>
      <c r="I31" s="46" t="n"/>
    </row>
    <row r="32">
      <c r="A32" s="68" t="n"/>
      <c r="B32" s="46" t="n"/>
      <c r="C32" s="47" t="n"/>
      <c r="D32" s="47" t="n"/>
      <c r="E32" s="48" t="n"/>
      <c r="F32" s="4" t="n"/>
      <c r="G32" s="4" t="n"/>
      <c r="H32" s="69">
        <f>F32*G32</f>
        <v/>
      </c>
      <c r="I32" s="46" t="n"/>
    </row>
    <row r="33">
      <c r="A33" s="68" t="n"/>
      <c r="B33" s="46" t="n"/>
      <c r="C33" s="47" t="n"/>
      <c r="D33" s="47" t="n"/>
      <c r="E33" s="48" t="n"/>
      <c r="F33" s="4" t="n"/>
      <c r="G33" s="4" t="n"/>
      <c r="H33" s="69">
        <f>F33*G33</f>
        <v/>
      </c>
      <c r="I33" s="46" t="n"/>
    </row>
    <row r="34">
      <c r="A34" s="68" t="n"/>
      <c r="B34" s="46" t="n"/>
      <c r="C34" s="47" t="n"/>
      <c r="D34" s="47" t="n"/>
      <c r="E34" s="48" t="n"/>
      <c r="F34" s="4" t="n"/>
      <c r="G34" s="4" t="n"/>
      <c r="H34" s="69">
        <f>F34*G34</f>
        <v/>
      </c>
      <c r="I34" s="46" t="n"/>
    </row>
    <row r="35" ht="17.25" customHeight="1" s="25" thickBot="1">
      <c r="A35" s="70" t="n"/>
      <c r="B35" s="56" t="n"/>
      <c r="C35" s="57" t="n"/>
      <c r="D35" s="57" t="n"/>
      <c r="E35" s="58" t="n"/>
      <c r="F35" s="20" t="n"/>
      <c r="G35" s="20" t="n"/>
      <c r="H35" s="71">
        <f>F35*G35</f>
        <v/>
      </c>
      <c r="I35" s="56" t="n"/>
    </row>
    <row r="36" ht="17.25" customHeight="1" s="25" thickTop="1">
      <c r="A36" s="72" t="n"/>
      <c r="B36" s="51" t="inlineStr">
        <is>
          <t>과세대상액(10%)</t>
        </is>
      </c>
      <c r="C36" s="52" t="n"/>
      <c r="D36" s="52" t="n"/>
      <c r="E36" s="53" t="n"/>
      <c r="F36" s="16" t="n"/>
      <c r="G36" s="16" t="n"/>
      <c r="H36" s="73">
        <f>SUM(H20:H35)</f>
        <v/>
      </c>
      <c r="I36" s="24" t="n"/>
    </row>
    <row r="37">
      <c r="A37" s="68" t="n"/>
      <c r="B37" s="63" t="inlineStr">
        <is>
          <t>과세대상소비세액(10%)</t>
        </is>
      </c>
      <c r="C37" s="47" t="n"/>
      <c r="D37" s="47" t="n"/>
      <c r="E37" s="48" t="n"/>
      <c r="F37" s="4" t="n"/>
      <c r="G37" s="4" t="n"/>
      <c r="H37" s="74">
        <f>INT(H36*0.1)</f>
        <v/>
      </c>
      <c r="I37" s="46" t="n"/>
    </row>
    <row r="39">
      <c r="A39" s="7" t="inlineStr">
        <is>
          <t>대박은행 대박지점 구좌번호 123-456789-234</t>
        </is>
      </c>
      <c r="B39" s="8" t="n"/>
      <c r="C39" s="8" t="n"/>
      <c r="D39" s="8" t="n"/>
      <c r="E39" s="8" t="n"/>
      <c r="F39" s="8" t="n"/>
      <c r="G39" s="8" t="n"/>
      <c r="H39" s="8" t="n"/>
      <c r="I39" s="9" t="n"/>
    </row>
    <row r="40">
      <c r="A40" s="10" t="inlineStr">
        <is>
          <t>※송금 수수료는 귀사 처리를 부탁드립니다</t>
        </is>
      </c>
      <c r="I40" s="11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4" t="n"/>
    </row>
  </sheetData>
  <mergeCells count="34">
    <mergeCell ref="B30:E30"/>
    <mergeCell ref="B33:E33"/>
    <mergeCell ref="B24:E24"/>
    <mergeCell ref="B20:E20"/>
    <mergeCell ref="E17:F17"/>
    <mergeCell ref="G17:H17"/>
    <mergeCell ref="B36:E36"/>
    <mergeCell ref="B32:E32"/>
    <mergeCell ref="B26:E26"/>
    <mergeCell ref="A16:B16"/>
    <mergeCell ref="H6:I6"/>
    <mergeCell ref="B35:E35"/>
    <mergeCell ref="C16:D16"/>
    <mergeCell ref="B25:E25"/>
    <mergeCell ref="B22:E22"/>
    <mergeCell ref="B6:G6"/>
    <mergeCell ref="B31:E31"/>
    <mergeCell ref="B27:E27"/>
    <mergeCell ref="B5:G5"/>
    <mergeCell ref="H7:I7"/>
    <mergeCell ref="B21:E21"/>
    <mergeCell ref="A17:B17"/>
    <mergeCell ref="C17:D17"/>
    <mergeCell ref="B7:G7"/>
    <mergeCell ref="B23:E23"/>
    <mergeCell ref="H8:I8"/>
    <mergeCell ref="E16:F16"/>
    <mergeCell ref="G16:H16"/>
    <mergeCell ref="B29:E29"/>
    <mergeCell ref="H5:I5"/>
    <mergeCell ref="B19:E19"/>
    <mergeCell ref="B37:E37"/>
    <mergeCell ref="B28:E28"/>
    <mergeCell ref="B34:E34"/>
  </mergeCells>
  <dataValidations count="1">
    <dataValidation sqref="F20:H37" showDropDown="0" showInputMessage="1" showErrorMessage="1" allowBlank="1"/>
  </dataValidations>
  <printOptions horizontalCentered="1"/>
  <pageMargins left="0.7" right="0.7" top="0.75" bottom="0.75" header="0.3" footer="0.3"/>
  <pageSetup orientation="portrait" paperSize="9" scale="93" fitToHeight="0"/>
  <headerFooter>
    <oddHeader>&amp;R発行日 &amp;D</oddHeader>
    <oddFooter>&amp;R&amp;P/&amp;N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topLeftCell="A13" zoomScaleNormal="100" workbookViewId="0">
      <selection activeCell="O30" sqref="O30"/>
    </sheetView>
  </sheetViews>
  <sheetFormatPr baseColWidth="8" defaultColWidth="8.875" defaultRowHeight="16.5"/>
  <cols>
    <col width="18" customWidth="1" style="25" min="9" max="9"/>
  </cols>
  <sheetData>
    <row r="1">
      <c r="A1" s="7" t="n"/>
      <c r="B1" s="8" t="n"/>
      <c r="C1" s="8" t="n"/>
      <c r="D1" s="8" t="n"/>
      <c r="E1" s="8" t="n"/>
      <c r="F1" s="8" t="n"/>
      <c r="G1" s="8" t="n"/>
      <c r="H1" s="8" t="n"/>
      <c r="I1" s="58" t="n"/>
    </row>
    <row r="2" ht="18.95" customHeight="1" s="25">
      <c r="A2" s="10" t="n"/>
      <c r="B2" s="2" t="n"/>
      <c r="C2" s="2" t="n"/>
      <c r="D2" s="2" t="n"/>
      <c r="E2" s="2" t="inlineStr">
        <is>
          <t>청구서</t>
        </is>
      </c>
      <c r="F2" s="2" t="n"/>
      <c r="G2" s="2" t="n"/>
      <c r="H2" s="2" t="n"/>
      <c r="I2" s="38" t="n"/>
    </row>
    <row r="3" ht="18" customHeight="1" s="25">
      <c r="A3" s="10" t="n"/>
      <c r="I3" s="42" t="n"/>
    </row>
    <row r="4">
      <c r="I4" s="39" t="n"/>
    </row>
    <row r="5">
      <c r="A5" s="46" t="inlineStr">
        <is>
          <t>우편번호</t>
        </is>
      </c>
      <c r="B5" s="55" t="n"/>
      <c r="C5" s="47" t="n"/>
      <c r="D5" s="47" t="n"/>
      <c r="E5" s="47" t="n"/>
      <c r="F5" s="47" t="n"/>
      <c r="G5" s="48" t="n"/>
      <c r="H5" s="46" t="inlineStr">
        <is>
          <t>주식회사 대박</t>
        </is>
      </c>
      <c r="I5" s="48" t="n"/>
    </row>
    <row r="6">
      <c r="A6" s="46" t="inlineStr">
        <is>
          <t>주소</t>
        </is>
      </c>
      <c r="B6" s="46" t="n"/>
      <c r="C6" s="47" t="n"/>
      <c r="D6" s="47" t="n"/>
      <c r="E6" s="47" t="n"/>
      <c r="F6" s="47" t="n"/>
      <c r="G6" s="48" t="n"/>
      <c r="H6" s="55" t="n">
        <v>12345</v>
      </c>
      <c r="I6" s="48" t="n"/>
    </row>
    <row r="7">
      <c r="A7" s="41" t="inlineStr">
        <is>
          <t>거래처</t>
        </is>
      </c>
      <c r="B7" s="46" t="n"/>
      <c r="C7" s="47" t="n"/>
      <c r="D7" s="47" t="n"/>
      <c r="E7" s="47" t="n"/>
      <c r="F7" s="47" t="n"/>
      <c r="G7" s="48" t="n"/>
      <c r="H7" s="60" t="inlineStr">
        <is>
          <t>서울특별시 마포구 대박로 22</t>
        </is>
      </c>
      <c r="I7" s="48" t="n"/>
    </row>
    <row r="8">
      <c r="A8" s="46" t="n"/>
      <c r="B8" s="46" t="n"/>
      <c r="C8" s="47" t="n"/>
      <c r="D8" s="47" t="n"/>
      <c r="E8" s="47" t="n"/>
      <c r="F8" s="47" t="n"/>
      <c r="G8" s="48" t="n"/>
      <c r="H8" s="46" t="inlineStr">
        <is>
          <t>대박빌딩</t>
        </is>
      </c>
      <c r="I8" s="48" t="n"/>
    </row>
    <row r="10">
      <c r="H10" s="1" t="inlineStr">
        <is>
          <t>담당자：</t>
        </is>
      </c>
      <c r="I10" s="0" t="inlineStr">
        <is>
          <t>홍길동</t>
        </is>
      </c>
    </row>
    <row r="11">
      <c r="H11" s="1" t="inlineStr">
        <is>
          <t>전화：</t>
        </is>
      </c>
      <c r="I11" s="0" t="inlineStr">
        <is>
          <t>000-0000-0000</t>
        </is>
      </c>
    </row>
    <row r="13">
      <c r="H13" s="0" t="inlineStr">
        <is>
          <t>송장 발급자 등록 번호</t>
        </is>
      </c>
    </row>
    <row r="14">
      <c r="A14" s="40" t="inlineStr">
        <is>
          <t>아래 금액을 청구합니다</t>
        </is>
      </c>
      <c r="H14" s="0" t="inlineStr">
        <is>
          <t>DB234-4567-3423</t>
        </is>
      </c>
    </row>
    <row r="16">
      <c r="A16" s="54" t="inlineStr">
        <is>
          <t>이전 청구 금액</t>
        </is>
      </c>
      <c r="B16" s="48" t="n"/>
      <c r="C16" s="59" t="inlineStr">
        <is>
          <t>이번 입금액
이번 입금액</t>
        </is>
      </c>
      <c r="D16" s="48" t="n"/>
      <c r="E16" s="54" t="inlineStr">
        <is>
          <t>이번달 매출액</t>
        </is>
      </c>
      <c r="F16" s="48" t="n"/>
      <c r="G16" s="54" t="inlineStr">
        <is>
          <t>소비세</t>
        </is>
      </c>
      <c r="H16" s="48" t="n"/>
      <c r="I16" s="54" t="inlineStr">
        <is>
          <t>이번달 청구액</t>
        </is>
      </c>
    </row>
    <row r="17">
      <c r="A17" s="64" t="n"/>
      <c r="B17" s="48" t="n"/>
      <c r="C17" s="65" t="n"/>
      <c r="D17" s="48" t="n"/>
      <c r="E17" s="66">
        <f>H36</f>
        <v/>
      </c>
      <c r="F17" s="48" t="n"/>
      <c r="G17" s="67">
        <f>H37</f>
        <v/>
      </c>
      <c r="H17" s="48" t="n"/>
      <c r="I17" s="67">
        <f>SUM(E17:H17)</f>
        <v/>
      </c>
    </row>
    <row r="19">
      <c r="A19" s="54" t="inlineStr">
        <is>
          <t>날짜</t>
        </is>
      </c>
      <c r="B19" s="54" t="inlineStr">
        <is>
          <t>상품명</t>
        </is>
      </c>
      <c r="C19" s="47" t="n"/>
      <c r="D19" s="47" t="n"/>
      <c r="E19" s="48" t="n"/>
      <c r="F19" s="54" t="inlineStr">
        <is>
          <t>수량</t>
        </is>
      </c>
      <c r="G19" s="33" t="inlineStr">
        <is>
          <t>단가</t>
        </is>
      </c>
      <c r="H19" s="54" t="inlineStr">
        <is>
          <t>금액</t>
        </is>
      </c>
      <c r="I19" s="54" t="inlineStr">
        <is>
          <t>비고</t>
        </is>
      </c>
    </row>
    <row r="20">
      <c r="A20" s="68" t="n"/>
      <c r="B20" s="46" t="n"/>
      <c r="C20" s="47" t="n"/>
      <c r="D20" s="47" t="n"/>
      <c r="E20" s="48" t="n"/>
      <c r="F20" s="4" t="n"/>
      <c r="G20" s="4" t="n"/>
      <c r="H20" s="69">
        <f>F20*G20</f>
        <v/>
      </c>
      <c r="I20" s="46" t="n"/>
    </row>
    <row r="21">
      <c r="A21" s="68" t="n"/>
      <c r="B21" s="46" t="n"/>
      <c r="C21" s="47" t="n"/>
      <c r="D21" s="47" t="n"/>
      <c r="E21" s="48" t="n"/>
      <c r="F21" s="4" t="n"/>
      <c r="G21" s="4" t="n"/>
      <c r="H21" s="69">
        <f>F21*G21</f>
        <v/>
      </c>
      <c r="I21" s="46" t="n"/>
    </row>
    <row r="22">
      <c r="A22" s="68" t="n"/>
      <c r="B22" s="46" t="n"/>
      <c r="C22" s="47" t="n"/>
      <c r="D22" s="47" t="n"/>
      <c r="E22" s="48" t="n"/>
      <c r="F22" s="4" t="n"/>
      <c r="G22" s="4" t="n"/>
      <c r="H22" s="69">
        <f>F22*G22</f>
        <v/>
      </c>
      <c r="I22" s="46" t="n"/>
    </row>
    <row r="23">
      <c r="A23" s="68" t="n"/>
      <c r="B23" s="46" t="n"/>
      <c r="C23" s="47" t="n"/>
      <c r="D23" s="47" t="n"/>
      <c r="E23" s="48" t="n"/>
      <c r="F23" s="4" t="n"/>
      <c r="G23" s="4" t="n"/>
      <c r="H23" s="69">
        <f>F23*G23</f>
        <v/>
      </c>
      <c r="I23" s="46" t="n"/>
    </row>
    <row r="24">
      <c r="A24" s="68" t="n"/>
      <c r="B24" s="46" t="n"/>
      <c r="C24" s="47" t="n"/>
      <c r="D24" s="47" t="n"/>
      <c r="E24" s="48" t="n"/>
      <c r="F24" s="4" t="n"/>
      <c r="G24" s="4" t="n"/>
      <c r="H24" s="69">
        <f>F24*G24</f>
        <v/>
      </c>
      <c r="I24" s="46" t="n"/>
    </row>
    <row r="25">
      <c r="A25" s="68" t="n"/>
      <c r="B25" s="46" t="n"/>
      <c r="C25" s="47" t="n"/>
      <c r="D25" s="47" t="n"/>
      <c r="E25" s="48" t="n"/>
      <c r="F25" s="4" t="n"/>
      <c r="G25" s="4" t="n"/>
      <c r="H25" s="69">
        <f>F25*G25</f>
        <v/>
      </c>
      <c r="I25" s="46" t="n"/>
    </row>
    <row r="26">
      <c r="A26" s="68" t="n"/>
      <c r="B26" s="46" t="n"/>
      <c r="C26" s="47" t="n"/>
      <c r="D26" s="47" t="n"/>
      <c r="E26" s="48" t="n"/>
      <c r="F26" s="4" t="n"/>
      <c r="G26" s="4" t="n"/>
      <c r="H26" s="69">
        <f>F26*G26</f>
        <v/>
      </c>
      <c r="I26" s="46" t="n"/>
    </row>
    <row r="27">
      <c r="A27" s="68" t="n"/>
      <c r="B27" s="46" t="n"/>
      <c r="C27" s="47" t="n"/>
      <c r="D27" s="47" t="n"/>
      <c r="E27" s="48" t="n"/>
      <c r="F27" s="4" t="n"/>
      <c r="G27" s="4" t="n"/>
      <c r="H27" s="69">
        <f>F27*G27</f>
        <v/>
      </c>
      <c r="I27" s="46" t="n"/>
    </row>
    <row r="28">
      <c r="A28" s="68" t="n"/>
      <c r="B28" s="46" t="n"/>
      <c r="C28" s="47" t="n"/>
      <c r="D28" s="47" t="n"/>
      <c r="E28" s="48" t="n"/>
      <c r="F28" s="4" t="n"/>
      <c r="G28" s="4" t="n"/>
      <c r="H28" s="69">
        <f>F28*G28</f>
        <v/>
      </c>
      <c r="I28" s="46" t="n"/>
    </row>
    <row r="29">
      <c r="A29" s="68" t="n"/>
      <c r="B29" s="46" t="n"/>
      <c r="C29" s="47" t="n"/>
      <c r="D29" s="47" t="n"/>
      <c r="E29" s="48" t="n"/>
      <c r="F29" s="4" t="n"/>
      <c r="G29" s="4" t="n"/>
      <c r="H29" s="69">
        <f>F29*G29</f>
        <v/>
      </c>
      <c r="I29" s="46" t="n"/>
    </row>
    <row r="30">
      <c r="A30" s="68" t="n"/>
      <c r="B30" s="46" t="n"/>
      <c r="C30" s="47" t="n"/>
      <c r="D30" s="47" t="n"/>
      <c r="E30" s="48" t="n"/>
      <c r="F30" s="4" t="n"/>
      <c r="G30" s="4" t="n"/>
      <c r="H30" s="69">
        <f>F30*G30</f>
        <v/>
      </c>
      <c r="I30" s="46" t="n"/>
    </row>
    <row r="31">
      <c r="A31" s="68" t="n"/>
      <c r="B31" s="46" t="n"/>
      <c r="C31" s="47" t="n"/>
      <c r="D31" s="47" t="n"/>
      <c r="E31" s="48" t="n"/>
      <c r="F31" s="4" t="n"/>
      <c r="G31" s="4" t="n"/>
      <c r="H31" s="69">
        <f>F31*G31</f>
        <v/>
      </c>
      <c r="I31" s="46" t="n"/>
    </row>
    <row r="32">
      <c r="A32" s="68" t="n"/>
      <c r="B32" s="46" t="n"/>
      <c r="C32" s="47" t="n"/>
      <c r="D32" s="47" t="n"/>
      <c r="E32" s="48" t="n"/>
      <c r="F32" s="4" t="n"/>
      <c r="G32" s="4" t="n"/>
      <c r="H32" s="69">
        <f>F32*G32</f>
        <v/>
      </c>
      <c r="I32" s="46" t="n"/>
    </row>
    <row r="33">
      <c r="A33" s="68" t="n"/>
      <c r="B33" s="46" t="n"/>
      <c r="C33" s="47" t="n"/>
      <c r="D33" s="47" t="n"/>
      <c r="E33" s="48" t="n"/>
      <c r="F33" s="4" t="n"/>
      <c r="G33" s="4" t="n"/>
      <c r="H33" s="69">
        <f>F33*G33</f>
        <v/>
      </c>
      <c r="I33" s="46" t="n"/>
    </row>
    <row r="34">
      <c r="A34" s="68" t="n"/>
      <c r="B34" s="46" t="n"/>
      <c r="C34" s="47" t="n"/>
      <c r="D34" s="47" t="n"/>
      <c r="E34" s="48" t="n"/>
      <c r="F34" s="4" t="n"/>
      <c r="G34" s="4" t="n"/>
      <c r="H34" s="69">
        <f>F34*G34</f>
        <v/>
      </c>
      <c r="I34" s="46" t="n"/>
    </row>
    <row r="35" ht="17.25" customHeight="1" s="25" thickBot="1">
      <c r="A35" s="70" t="n"/>
      <c r="B35" s="56" t="n"/>
      <c r="C35" s="57" t="n"/>
      <c r="D35" s="57" t="n"/>
      <c r="E35" s="58" t="n"/>
      <c r="F35" s="20" t="n"/>
      <c r="G35" s="20" t="n"/>
      <c r="H35" s="71">
        <f>F35*G35</f>
        <v/>
      </c>
      <c r="I35" s="56" t="n"/>
    </row>
    <row r="36" ht="17.25" customHeight="1" s="25" thickTop="1">
      <c r="A36" s="72" t="n"/>
      <c r="B36" s="51" t="inlineStr">
        <is>
          <t>과세대상액(10%)</t>
        </is>
      </c>
      <c r="C36" s="52" t="n"/>
      <c r="D36" s="52" t="n"/>
      <c r="E36" s="53" t="n"/>
      <c r="F36" s="16" t="n"/>
      <c r="G36" s="16" t="n"/>
      <c r="H36" s="73">
        <f>SUM(H20:H35)</f>
        <v/>
      </c>
      <c r="I36" s="24" t="n"/>
    </row>
    <row r="37">
      <c r="A37" s="68" t="n"/>
      <c r="B37" s="63" t="inlineStr">
        <is>
          <t>과세대상소비세액(10%)</t>
        </is>
      </c>
      <c r="C37" s="47" t="n"/>
      <c r="D37" s="47" t="n"/>
      <c r="E37" s="48" t="n"/>
      <c r="F37" s="4" t="n"/>
      <c r="G37" s="4" t="n"/>
      <c r="H37" s="74">
        <f>INT(H36*0.1)</f>
        <v/>
      </c>
      <c r="I37" s="46" t="n"/>
    </row>
    <row r="39">
      <c r="A39" s="7" t="inlineStr">
        <is>
          <t>대박은행 대박지점 구좌번호 123-456789-234</t>
        </is>
      </c>
      <c r="B39" s="8" t="n"/>
      <c r="C39" s="8" t="n"/>
      <c r="D39" s="8" t="n"/>
      <c r="E39" s="8" t="n"/>
      <c r="F39" s="8" t="n"/>
      <c r="G39" s="8" t="n"/>
      <c r="H39" s="8" t="n"/>
      <c r="I39" s="9" t="n"/>
    </row>
    <row r="40">
      <c r="A40" s="10" t="inlineStr">
        <is>
          <t>※송금 수수료는 귀사 처리를 부탁드립니다</t>
        </is>
      </c>
      <c r="I40" s="11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4" t="n"/>
    </row>
  </sheetData>
  <mergeCells count="35">
    <mergeCell ref="B30:E30"/>
    <mergeCell ref="B8:G8"/>
    <mergeCell ref="B33:E33"/>
    <mergeCell ref="B24:E24"/>
    <mergeCell ref="B20:E20"/>
    <mergeCell ref="E17:F17"/>
    <mergeCell ref="G17:H17"/>
    <mergeCell ref="B36:E36"/>
    <mergeCell ref="B32:E32"/>
    <mergeCell ref="B26:E26"/>
    <mergeCell ref="A16:B16"/>
    <mergeCell ref="H6:I6"/>
    <mergeCell ref="C16:D16"/>
    <mergeCell ref="B35:E35"/>
    <mergeCell ref="B25:E25"/>
    <mergeCell ref="B22:E22"/>
    <mergeCell ref="B6:G6"/>
    <mergeCell ref="B31:E31"/>
    <mergeCell ref="B27:E27"/>
    <mergeCell ref="B5:G5"/>
    <mergeCell ref="H7:I7"/>
    <mergeCell ref="B21:E21"/>
    <mergeCell ref="A17:B17"/>
    <mergeCell ref="C17:D17"/>
    <mergeCell ref="B7:G7"/>
    <mergeCell ref="B23:E23"/>
    <mergeCell ref="H8:I8"/>
    <mergeCell ref="E16:F16"/>
    <mergeCell ref="G16:H16"/>
    <mergeCell ref="B29:E29"/>
    <mergeCell ref="H5:I5"/>
    <mergeCell ref="B19:E19"/>
    <mergeCell ref="B37:E37"/>
    <mergeCell ref="B28:E28"/>
    <mergeCell ref="B34:E34"/>
  </mergeCells>
  <dataValidations count="1">
    <dataValidation sqref="F20:H37" showDropDown="0" showInputMessage="1" showErrorMessage="1" allowBlank="1" imeMode="disabled"/>
  </dataValidations>
  <printOptions horizontalCentered="1"/>
  <pageMargins left="0.7" right="0.7" top="0.75" bottom="0.75" header="0.3" footer="0.3"/>
  <pageSetup orientation="portrait" paperSize="9" scale="93" fitToHeight="0"/>
  <headerFooter>
    <oddHeader>&amp;R発行日 &amp;D</oddHeader>
    <oddFooter>&amp;R&amp;P/&amp;N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I56"/>
  <sheetViews>
    <sheetView zoomScaleNormal="100" workbookViewId="0">
      <selection activeCell="A6" sqref="A6"/>
    </sheetView>
  </sheetViews>
  <sheetFormatPr baseColWidth="8" defaultColWidth="8.875" defaultRowHeight="16.5"/>
  <cols>
    <col width="18" customWidth="1" style="25" min="9" max="9"/>
  </cols>
  <sheetData>
    <row r="2" ht="33" customHeight="1" s="25">
      <c r="B2" s="2" t="n"/>
      <c r="C2" s="2" t="n"/>
      <c r="D2" s="2" t="n"/>
      <c r="E2" s="2" t="inlineStr">
        <is>
          <t>청구서</t>
        </is>
      </c>
      <c r="F2" s="2" t="n"/>
      <c r="G2" s="2" t="n"/>
      <c r="H2" s="2" t="n"/>
      <c r="I2" s="2" t="n"/>
    </row>
    <row r="4">
      <c r="A4" s="0" t="inlineStr">
        <is>
          <t>우편번호</t>
        </is>
      </c>
    </row>
    <row r="5">
      <c r="A5" s="0" t="inlineStr">
        <is>
          <t>주소</t>
        </is>
      </c>
      <c r="H5" s="0" t="inlineStr">
        <is>
          <t>주식회사 대박</t>
        </is>
      </c>
    </row>
    <row r="6">
      <c r="A6" s="35" t="inlineStr">
        <is>
          <t>거래처</t>
        </is>
      </c>
      <c r="H6" s="34" t="n">
        <v>12345</v>
      </c>
    </row>
    <row r="7">
      <c r="H7" s="0" t="inlineStr">
        <is>
          <t>서울특별시 마포구 대박로 22</t>
        </is>
      </c>
    </row>
    <row r="8">
      <c r="H8" s="0" t="inlineStr">
        <is>
          <t>대박빌딩</t>
        </is>
      </c>
    </row>
    <row r="10">
      <c r="H10" s="1" t="inlineStr">
        <is>
          <t>담당자：</t>
        </is>
      </c>
      <c r="I10" s="0" t="inlineStr">
        <is>
          <t>홍길동</t>
        </is>
      </c>
    </row>
    <row r="11">
      <c r="H11" s="1" t="inlineStr">
        <is>
          <t>전화：</t>
        </is>
      </c>
      <c r="I11" s="0" t="inlineStr">
        <is>
          <t>000-0000-0000</t>
        </is>
      </c>
    </row>
    <row r="13">
      <c r="H13" s="0" t="inlineStr">
        <is>
          <t>송장 발급자 등록 번호</t>
        </is>
      </c>
    </row>
    <row r="14">
      <c r="A14" s="0" t="inlineStr">
        <is>
          <t>아래 금액을 청구합니다</t>
        </is>
      </c>
      <c r="H14" s="0" t="inlineStr">
        <is>
          <t>DB234-4567-3423</t>
        </is>
      </c>
    </row>
    <row r="16">
      <c r="A16" s="54" t="inlineStr">
        <is>
          <t>이전 청구 금액</t>
        </is>
      </c>
      <c r="B16" s="48" t="n"/>
      <c r="C16" s="59" t="inlineStr">
        <is>
          <t>이번 입금액
이번 입금액</t>
        </is>
      </c>
      <c r="D16" s="48" t="n"/>
      <c r="E16" s="54" t="inlineStr">
        <is>
          <t>이번달 매출액</t>
        </is>
      </c>
      <c r="F16" s="48" t="n"/>
      <c r="G16" s="54" t="inlineStr">
        <is>
          <t>소비세</t>
        </is>
      </c>
      <c r="H16" s="48" t="n"/>
      <c r="I16" s="54" t="inlineStr">
        <is>
          <t>이번달 청구액</t>
        </is>
      </c>
    </row>
    <row r="17">
      <c r="A17" s="64" t="n"/>
      <c r="B17" s="48" t="n"/>
      <c r="C17" s="65" t="n"/>
      <c r="D17" s="48" t="n"/>
      <c r="E17" s="66">
        <f>H51</f>
        <v/>
      </c>
      <c r="F17" s="48" t="n"/>
      <c r="G17" s="67">
        <f>H52</f>
        <v/>
      </c>
      <c r="H17" s="48" t="n"/>
      <c r="I17" s="67">
        <f>SUM(E17:H17)</f>
        <v/>
      </c>
    </row>
    <row r="19">
      <c r="A19" s="54" t="inlineStr">
        <is>
          <t>날짜</t>
        </is>
      </c>
      <c r="B19" s="54" t="inlineStr">
        <is>
          <t>상품명</t>
        </is>
      </c>
      <c r="C19" s="47" t="n"/>
      <c r="D19" s="47" t="n"/>
      <c r="E19" s="48" t="n"/>
      <c r="F19" s="54" t="inlineStr">
        <is>
          <t>수량</t>
        </is>
      </c>
      <c r="G19" s="33" t="inlineStr">
        <is>
          <t>단가</t>
        </is>
      </c>
      <c r="H19" s="54" t="inlineStr">
        <is>
          <t>금액</t>
        </is>
      </c>
      <c r="I19" s="54" t="inlineStr">
        <is>
          <t>비고</t>
        </is>
      </c>
    </row>
    <row r="20">
      <c r="A20" s="68" t="n">
        <v>45870</v>
      </c>
      <c r="B20" s="46" t="inlineStr">
        <is>
          <t>상품 1</t>
        </is>
      </c>
      <c r="C20" s="47" t="n"/>
      <c r="D20" s="47" t="n"/>
      <c r="E20" s="48" t="n"/>
      <c r="F20" s="4" t="n">
        <v>3</v>
      </c>
      <c r="G20" s="4" t="n">
        <v>2480</v>
      </c>
      <c r="H20" s="69">
        <f>F20*G20</f>
        <v/>
      </c>
      <c r="I20" s="46" t="n"/>
    </row>
    <row r="21">
      <c r="A21" s="68" t="n">
        <v>45872</v>
      </c>
      <c r="B21" s="46" t="inlineStr">
        <is>
          <t>상품 2</t>
        </is>
      </c>
      <c r="C21" s="47" t="n"/>
      <c r="D21" s="47" t="n"/>
      <c r="E21" s="48" t="n"/>
      <c r="F21" s="4" t="n">
        <v>3</v>
      </c>
      <c r="G21" s="4" t="n">
        <v>900</v>
      </c>
      <c r="H21" s="69">
        <f>F21*G21</f>
        <v/>
      </c>
      <c r="I21" s="46" t="n"/>
    </row>
    <row r="22">
      <c r="A22" s="68" t="n">
        <v>45872</v>
      </c>
      <c r="B22" s="46" t="inlineStr">
        <is>
          <t>상품 3</t>
        </is>
      </c>
      <c r="C22" s="47" t="n"/>
      <c r="D22" s="47" t="n"/>
      <c r="E22" s="48" t="n"/>
      <c r="F22" s="4" t="n">
        <v>3</v>
      </c>
      <c r="G22" s="4" t="n">
        <v>2150</v>
      </c>
      <c r="H22" s="69">
        <f>F22*G22</f>
        <v/>
      </c>
      <c r="I22" s="46" t="n"/>
    </row>
    <row r="23">
      <c r="A23" s="68" t="n">
        <v>45876</v>
      </c>
      <c r="B23" s="46" t="inlineStr">
        <is>
          <t>상품 4</t>
        </is>
      </c>
      <c r="C23" s="47" t="n"/>
      <c r="D23" s="47" t="n"/>
      <c r="E23" s="48" t="n"/>
      <c r="F23" s="4" t="n">
        <v>5</v>
      </c>
      <c r="G23" s="4" t="n">
        <v>360</v>
      </c>
      <c r="H23" s="69">
        <f>F23*G23</f>
        <v/>
      </c>
      <c r="I23" s="46" t="n"/>
    </row>
    <row r="24">
      <c r="A24" s="68" t="n">
        <v>45876</v>
      </c>
      <c r="B24" s="46" t="inlineStr">
        <is>
          <t>상품 5</t>
        </is>
      </c>
      <c r="C24" s="47" t="n"/>
      <c r="D24" s="47" t="n"/>
      <c r="E24" s="48" t="n"/>
      <c r="F24" s="4" t="n">
        <v>5</v>
      </c>
      <c r="G24" s="4" t="n">
        <v>665</v>
      </c>
      <c r="H24" s="69">
        <f>F24*G24</f>
        <v/>
      </c>
      <c r="I24" s="46" t="n"/>
    </row>
    <row r="25">
      <c r="A25" s="68" t="n">
        <v>45876</v>
      </c>
      <c r="B25" s="46" t="inlineStr">
        <is>
          <t>상품 6</t>
        </is>
      </c>
      <c r="C25" s="47" t="n"/>
      <c r="D25" s="47" t="n"/>
      <c r="E25" s="48" t="n"/>
      <c r="F25" s="4" t="n">
        <v>3</v>
      </c>
      <c r="G25" s="4" t="n">
        <v>870</v>
      </c>
      <c r="H25" s="69">
        <f>F25*G25</f>
        <v/>
      </c>
      <c r="I25" s="46" t="n"/>
    </row>
    <row r="26">
      <c r="A26" s="68" t="n">
        <v>45876</v>
      </c>
      <c r="B26" s="46" t="inlineStr">
        <is>
          <t>상품 7</t>
        </is>
      </c>
      <c r="C26" s="47" t="n"/>
      <c r="D26" s="47" t="n"/>
      <c r="E26" s="48" t="n"/>
      <c r="F26" s="4" t="n">
        <v>3</v>
      </c>
      <c r="G26" s="4" t="n">
        <v>1375</v>
      </c>
      <c r="H26" s="69">
        <f>F26*G26</f>
        <v/>
      </c>
      <c r="I26" s="46" t="n"/>
    </row>
    <row r="27">
      <c r="A27" s="68" t="n">
        <v>45878</v>
      </c>
      <c r="B27" s="46" t="inlineStr">
        <is>
          <t>상품 8</t>
        </is>
      </c>
      <c r="C27" s="47" t="n"/>
      <c r="D27" s="47" t="n"/>
      <c r="E27" s="48" t="n"/>
      <c r="F27" s="4" t="n">
        <v>3</v>
      </c>
      <c r="G27" s="4" t="n">
        <v>2150</v>
      </c>
      <c r="H27" s="69">
        <f>F27*G27</f>
        <v/>
      </c>
      <c r="I27" s="46" t="n"/>
    </row>
    <row r="28">
      <c r="A28" s="68" t="n">
        <v>45878</v>
      </c>
      <c r="B28" s="46" t="inlineStr">
        <is>
          <t>상품 9</t>
        </is>
      </c>
      <c r="C28" s="47" t="n"/>
      <c r="D28" s="47" t="n"/>
      <c r="E28" s="48" t="n"/>
      <c r="F28" s="4" t="n">
        <v>5</v>
      </c>
      <c r="G28" s="4" t="n">
        <v>1970</v>
      </c>
      <c r="H28" s="69">
        <f>F28*G28</f>
        <v/>
      </c>
      <c r="I28" s="46" t="n"/>
    </row>
    <row r="29">
      <c r="A29" s="68" t="n">
        <v>45883</v>
      </c>
      <c r="B29" s="46" t="inlineStr">
        <is>
          <t>상품 10</t>
        </is>
      </c>
      <c r="C29" s="47" t="n"/>
      <c r="D29" s="47" t="n"/>
      <c r="E29" s="48" t="n"/>
      <c r="F29" s="4" t="n">
        <v>5</v>
      </c>
      <c r="G29" s="4" t="n">
        <v>900</v>
      </c>
      <c r="H29" s="69">
        <f>F29*G29</f>
        <v/>
      </c>
      <c r="I29" s="46" t="n"/>
    </row>
    <row r="30">
      <c r="A30" s="68" t="n">
        <v>45883</v>
      </c>
      <c r="B30" s="46" t="inlineStr">
        <is>
          <t>상품 11</t>
        </is>
      </c>
      <c r="C30" s="47" t="n"/>
      <c r="D30" s="47" t="n"/>
      <c r="E30" s="48" t="n"/>
      <c r="F30" s="4" t="n">
        <v>3</v>
      </c>
      <c r="G30" s="4" t="n">
        <v>2480</v>
      </c>
      <c r="H30" s="69">
        <f>F30*G30</f>
        <v/>
      </c>
      <c r="I30" s="46" t="n"/>
    </row>
    <row r="31">
      <c r="A31" s="68" t="n">
        <v>45883</v>
      </c>
      <c r="B31" s="46" t="inlineStr">
        <is>
          <t>상품 12</t>
        </is>
      </c>
      <c r="C31" s="47" t="n"/>
      <c r="D31" s="47" t="n"/>
      <c r="E31" s="48" t="n"/>
      <c r="F31" s="4" t="n">
        <v>6</v>
      </c>
      <c r="G31" s="4" t="n">
        <v>1580</v>
      </c>
      <c r="H31" s="69">
        <f>F31*G31</f>
        <v/>
      </c>
      <c r="I31" s="46" t="n"/>
    </row>
    <row r="32">
      <c r="A32" s="68" t="n">
        <v>45883</v>
      </c>
      <c r="B32" s="46" t="inlineStr">
        <is>
          <t>상품 13</t>
        </is>
      </c>
      <c r="C32" s="47" t="n"/>
      <c r="D32" s="47" t="n"/>
      <c r="E32" s="48" t="n"/>
      <c r="F32" s="4" t="n">
        <v>4</v>
      </c>
      <c r="G32" s="4" t="n">
        <v>2150</v>
      </c>
      <c r="H32" s="69">
        <f>F32*G32</f>
        <v/>
      </c>
      <c r="I32" s="46" t="n"/>
    </row>
    <row r="33">
      <c r="A33" s="68" t="n">
        <v>45883</v>
      </c>
      <c r="B33" s="46" t="inlineStr">
        <is>
          <t>상품 14</t>
        </is>
      </c>
      <c r="C33" s="47" t="n"/>
      <c r="D33" s="47" t="n"/>
      <c r="E33" s="48" t="n"/>
      <c r="F33" s="4" t="n">
        <v>3</v>
      </c>
      <c r="G33" s="4" t="n">
        <v>1820</v>
      </c>
      <c r="H33" s="69">
        <f>F33*G33</f>
        <v/>
      </c>
      <c r="I33" s="46" t="n"/>
    </row>
    <row r="34">
      <c r="A34" s="68" t="n">
        <v>45883</v>
      </c>
      <c r="B34" s="46" t="inlineStr">
        <is>
          <t>상품 15</t>
        </is>
      </c>
      <c r="C34" s="47" t="n"/>
      <c r="D34" s="47" t="n"/>
      <c r="E34" s="48" t="n"/>
      <c r="F34" s="4" t="n">
        <v>5</v>
      </c>
      <c r="G34" s="4" t="n">
        <v>870</v>
      </c>
      <c r="H34" s="69">
        <f>F34*G34</f>
        <v/>
      </c>
      <c r="I34" s="46" t="n"/>
    </row>
    <row r="35">
      <c r="A35" s="70" t="n">
        <v>45883</v>
      </c>
      <c r="B35" s="46" t="inlineStr">
        <is>
          <t>상품 16</t>
        </is>
      </c>
      <c r="C35" s="47" t="n"/>
      <c r="D35" s="47" t="n"/>
      <c r="E35" s="48" t="n"/>
      <c r="F35" s="20" t="n">
        <v>4</v>
      </c>
      <c r="G35" s="20" t="n">
        <v>2560</v>
      </c>
      <c r="H35" s="69">
        <f>F35*G35</f>
        <v/>
      </c>
      <c r="I35" s="56" t="n"/>
    </row>
    <row r="36">
      <c r="A36" s="75" t="n">
        <v>45883</v>
      </c>
      <c r="B36" s="46" t="inlineStr">
        <is>
          <t>상품 17</t>
        </is>
      </c>
      <c r="C36" s="47" t="n"/>
      <c r="D36" s="47" t="n"/>
      <c r="E36" s="48" t="n"/>
      <c r="F36" s="30" t="n">
        <v>6</v>
      </c>
      <c r="G36" s="30" t="n">
        <v>1625</v>
      </c>
      <c r="H36" s="69">
        <f>F36*G36</f>
        <v/>
      </c>
      <c r="I36" s="29" t="n"/>
    </row>
    <row r="37">
      <c r="A37" s="75" t="n">
        <v>45885</v>
      </c>
      <c r="B37" s="46" t="inlineStr">
        <is>
          <t>상품 18</t>
        </is>
      </c>
      <c r="C37" s="47" t="n"/>
      <c r="D37" s="47" t="n"/>
      <c r="E37" s="48" t="n"/>
      <c r="F37" s="30" t="n">
        <v>4</v>
      </c>
      <c r="G37" s="30" t="n">
        <v>1970</v>
      </c>
      <c r="H37" s="69">
        <f>F37*G37</f>
        <v/>
      </c>
      <c r="I37" s="29" t="n"/>
    </row>
    <row r="38">
      <c r="A38" s="75" t="n">
        <v>45886</v>
      </c>
      <c r="B38" s="46" t="inlineStr">
        <is>
          <t>상품 19</t>
        </is>
      </c>
      <c r="C38" s="47" t="n"/>
      <c r="D38" s="47" t="n"/>
      <c r="E38" s="48" t="n"/>
      <c r="F38" s="30" t="n">
        <v>5</v>
      </c>
      <c r="G38" s="30" t="n">
        <v>360</v>
      </c>
      <c r="H38" s="69">
        <f>F38*G38</f>
        <v/>
      </c>
      <c r="I38" s="29" t="n"/>
    </row>
    <row r="39">
      <c r="A39" s="75" t="n">
        <v>45886</v>
      </c>
      <c r="B39" s="46" t="inlineStr">
        <is>
          <t>상품 20</t>
        </is>
      </c>
      <c r="C39" s="47" t="n"/>
      <c r="D39" s="47" t="n"/>
      <c r="E39" s="48" t="n"/>
      <c r="F39" s="30" t="n">
        <v>3</v>
      </c>
      <c r="G39" s="30" t="n">
        <v>2350</v>
      </c>
      <c r="H39" s="69">
        <f>F39*G39</f>
        <v/>
      </c>
      <c r="I39" s="29" t="n"/>
    </row>
    <row r="40">
      <c r="A40" s="75" t="n">
        <v>45887</v>
      </c>
      <c r="B40" s="46" t="inlineStr">
        <is>
          <t>상품 21</t>
        </is>
      </c>
      <c r="C40" s="47" t="n"/>
      <c r="D40" s="47" t="n"/>
      <c r="E40" s="48" t="n"/>
      <c r="F40" s="30" t="n">
        <v>22</v>
      </c>
      <c r="G40" s="30" t="n">
        <v>645</v>
      </c>
      <c r="H40" s="69">
        <f>F40*G40</f>
        <v/>
      </c>
      <c r="I40" s="29" t="n"/>
    </row>
    <row r="41">
      <c r="A41" s="75" t="n">
        <v>45893</v>
      </c>
      <c r="B41" s="46" t="inlineStr">
        <is>
          <t>상품 22</t>
        </is>
      </c>
      <c r="C41" s="47" t="n"/>
      <c r="D41" s="47" t="n"/>
      <c r="E41" s="48" t="n"/>
      <c r="F41" s="30" t="n">
        <v>4</v>
      </c>
      <c r="G41" s="30" t="n">
        <v>1580</v>
      </c>
      <c r="H41" s="69">
        <f>F41*G41</f>
        <v/>
      </c>
      <c r="I41" s="29" t="n"/>
    </row>
    <row r="42">
      <c r="A42" s="75" t="n">
        <v>45893</v>
      </c>
      <c r="B42" s="46" t="inlineStr">
        <is>
          <t>상품 23</t>
        </is>
      </c>
      <c r="C42" s="47" t="n"/>
      <c r="D42" s="47" t="n"/>
      <c r="E42" s="48" t="n"/>
      <c r="F42" s="30" t="n">
        <v>5</v>
      </c>
      <c r="G42" s="30" t="n">
        <v>1946</v>
      </c>
      <c r="H42" s="69">
        <f>F42*G42</f>
        <v/>
      </c>
      <c r="I42" s="29" t="n"/>
    </row>
    <row r="43">
      <c r="A43" s="75" t="n">
        <v>45895</v>
      </c>
      <c r="B43" s="46" t="inlineStr">
        <is>
          <t>상품 24</t>
        </is>
      </c>
      <c r="C43" s="47" t="n"/>
      <c r="D43" s="47" t="n"/>
      <c r="E43" s="48" t="n"/>
      <c r="F43" s="30" t="n">
        <v>22</v>
      </c>
      <c r="G43" s="30" t="n">
        <v>460</v>
      </c>
      <c r="H43" s="69">
        <f>F43*G43</f>
        <v/>
      </c>
      <c r="I43" s="29" t="n"/>
    </row>
    <row r="44">
      <c r="A44" s="75" t="n">
        <v>45897</v>
      </c>
      <c r="B44" s="46" t="inlineStr">
        <is>
          <t>상품 25</t>
        </is>
      </c>
      <c r="C44" s="47" t="n"/>
      <c r="D44" s="47" t="n"/>
      <c r="E44" s="48" t="n"/>
      <c r="F44" s="30" t="n">
        <v>5</v>
      </c>
      <c r="G44" s="30" t="n">
        <v>1150</v>
      </c>
      <c r="H44" s="69">
        <f>F44*G44</f>
        <v/>
      </c>
      <c r="I44" s="29" t="n"/>
    </row>
    <row r="45">
      <c r="A45" s="75" t="n">
        <v>45897</v>
      </c>
      <c r="B45" s="46" t="inlineStr">
        <is>
          <t>상품 26</t>
        </is>
      </c>
      <c r="C45" s="47" t="n"/>
      <c r="D45" s="47" t="n"/>
      <c r="E45" s="48" t="n"/>
      <c r="F45" s="30" t="n">
        <v>3</v>
      </c>
      <c r="G45" s="30" t="n">
        <v>2730</v>
      </c>
      <c r="H45" s="69">
        <f>F45*G45</f>
        <v/>
      </c>
      <c r="I45" s="29" t="n"/>
    </row>
    <row r="46">
      <c r="A46" s="75" t="n">
        <v>45897</v>
      </c>
      <c r="B46" s="46" t="inlineStr">
        <is>
          <t>상품 27</t>
        </is>
      </c>
      <c r="C46" s="47" t="n"/>
      <c r="D46" s="47" t="n"/>
      <c r="E46" s="48" t="n"/>
      <c r="F46" s="30" t="n">
        <v>3</v>
      </c>
      <c r="G46" s="30" t="n">
        <v>720</v>
      </c>
      <c r="H46" s="69">
        <f>F46*G46</f>
        <v/>
      </c>
      <c r="I46" s="29" t="n"/>
    </row>
    <row r="47">
      <c r="A47" s="75" t="n">
        <v>45900</v>
      </c>
      <c r="B47" s="46" t="inlineStr">
        <is>
          <t>상품 28</t>
        </is>
      </c>
      <c r="C47" s="47" t="n"/>
      <c r="D47" s="47" t="n"/>
      <c r="E47" s="48" t="n"/>
      <c r="F47" s="30" t="n">
        <v>5</v>
      </c>
      <c r="G47" s="30" t="n">
        <v>870</v>
      </c>
      <c r="H47" s="69">
        <f>F47*G47</f>
        <v/>
      </c>
      <c r="I47" s="29" t="n"/>
    </row>
    <row r="48">
      <c r="A48" s="75" t="n">
        <v>45900</v>
      </c>
      <c r="B48" s="46" t="inlineStr">
        <is>
          <t>상품 29</t>
        </is>
      </c>
      <c r="C48" s="47" t="n"/>
      <c r="D48" s="47" t="n"/>
      <c r="E48" s="48" t="n"/>
      <c r="F48" s="30" t="n">
        <v>5</v>
      </c>
      <c r="G48" s="30" t="n">
        <v>900</v>
      </c>
      <c r="H48" s="69">
        <f>F48*G48</f>
        <v/>
      </c>
      <c r="I48" s="29" t="n"/>
    </row>
    <row r="49">
      <c r="A49" s="75" t="n">
        <v>45900</v>
      </c>
      <c r="B49" s="46" t="inlineStr">
        <is>
          <t>상품 30</t>
        </is>
      </c>
      <c r="C49" s="47" t="n"/>
      <c r="D49" s="47" t="n"/>
      <c r="E49" s="48" t="n"/>
      <c r="F49" s="30" t="n">
        <v>5</v>
      </c>
      <c r="G49" s="30" t="n">
        <v>1580</v>
      </c>
      <c r="H49" s="69">
        <f>F49*G49</f>
        <v/>
      </c>
      <c r="I49" s="29" t="n"/>
    </row>
    <row r="50" ht="17.25" customHeight="1" s="25" thickBot="1">
      <c r="A50" s="75" t="n">
        <v>45900</v>
      </c>
      <c r="B50" s="46" t="inlineStr">
        <is>
          <t>상품 31</t>
        </is>
      </c>
      <c r="C50" s="47" t="n"/>
      <c r="D50" s="47" t="n"/>
      <c r="E50" s="48" t="n"/>
      <c r="F50" s="30" t="n">
        <v>6</v>
      </c>
      <c r="G50" s="30" t="n">
        <v>1946</v>
      </c>
      <c r="H50" s="69">
        <f>F50*G50</f>
        <v/>
      </c>
      <c r="I50" s="29" t="n"/>
    </row>
    <row r="51" ht="17.25" customHeight="1" s="25" thickTop="1">
      <c r="A51" s="72" t="n"/>
      <c r="B51" s="24" t="inlineStr">
        <is>
          <t xml:space="preserve">과세대상액(10%)			</t>
        </is>
      </c>
      <c r="C51" s="52" t="n"/>
      <c r="D51" s="52" t="n"/>
      <c r="E51" s="53" t="n"/>
      <c r="F51" s="16" t="n"/>
      <c r="G51" s="16" t="n"/>
      <c r="H51" s="73">
        <f>SUM(H20:H50)</f>
        <v/>
      </c>
      <c r="I51" s="24" t="n"/>
    </row>
    <row r="52">
      <c r="A52" s="68" t="n"/>
      <c r="B52" s="46" t="inlineStr">
        <is>
          <t>과세대상소비세액(10%)</t>
        </is>
      </c>
      <c r="C52" s="47" t="n"/>
      <c r="D52" s="47" t="n"/>
      <c r="E52" s="48" t="n"/>
      <c r="F52" s="4" t="n"/>
      <c r="G52" s="4" t="n"/>
      <c r="H52" s="74">
        <f>INT(H51*0.1)</f>
        <v/>
      </c>
      <c r="I52" s="46" t="n"/>
    </row>
    <row r="54">
      <c r="A54" s="7" t="inlineStr">
        <is>
          <t>대박은행 대박지점 구좌번호 123-456789-234</t>
        </is>
      </c>
      <c r="B54" s="8" t="n"/>
      <c r="C54" s="8" t="n"/>
      <c r="D54" s="8" t="n"/>
      <c r="E54" s="8" t="n"/>
      <c r="F54" s="8" t="n"/>
      <c r="G54" s="8" t="n"/>
      <c r="H54" s="8" t="n"/>
      <c r="I54" s="9" t="n"/>
    </row>
    <row r="55">
      <c r="A55" s="10" t="inlineStr">
        <is>
          <t>※송금 수수료는 귀사 처리를 부탁드립니다</t>
        </is>
      </c>
      <c r="I55" s="11" t="n"/>
    </row>
    <row r="56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4" t="n"/>
    </row>
  </sheetData>
  <mergeCells count="40">
    <mergeCell ref="B40:E40"/>
    <mergeCell ref="B49:E49"/>
    <mergeCell ref="B30:E30"/>
    <mergeCell ref="B33:E33"/>
    <mergeCell ref="B24:E24"/>
    <mergeCell ref="B20:E20"/>
    <mergeCell ref="E17:F17"/>
    <mergeCell ref="G17:H17"/>
    <mergeCell ref="B36:E36"/>
    <mergeCell ref="B32:E32"/>
    <mergeCell ref="B45:E45"/>
    <mergeCell ref="B26:E26"/>
    <mergeCell ref="B41:E41"/>
    <mergeCell ref="A16:B16"/>
    <mergeCell ref="B35:E35"/>
    <mergeCell ref="B50:E50"/>
    <mergeCell ref="C16:D16"/>
    <mergeCell ref="B25:E25"/>
    <mergeCell ref="B47:E47"/>
    <mergeCell ref="B46:E46"/>
    <mergeCell ref="B22:E22"/>
    <mergeCell ref="B31:E31"/>
    <mergeCell ref="B27:E27"/>
    <mergeCell ref="B43:E43"/>
    <mergeCell ref="B21:E21"/>
    <mergeCell ref="B48:E48"/>
    <mergeCell ref="B39:E39"/>
    <mergeCell ref="A17:B17"/>
    <mergeCell ref="B42:E42"/>
    <mergeCell ref="C17:D17"/>
    <mergeCell ref="B23:E23"/>
    <mergeCell ref="E16:F16"/>
    <mergeCell ref="G16:H16"/>
    <mergeCell ref="B38:E38"/>
    <mergeCell ref="B44:E44"/>
    <mergeCell ref="B29:E29"/>
    <mergeCell ref="B19:E19"/>
    <mergeCell ref="B37:E37"/>
    <mergeCell ref="B28:E28"/>
    <mergeCell ref="B34:E34"/>
  </mergeCells>
  <dataValidations disablePrompts="1" count="1">
    <dataValidation sqref="F20:H54" showDropDown="0" showInputMessage="1" showErrorMessage="1" allowBlank="1" imeMode="disabled"/>
  </dataValidations>
  <printOptions horizontalCentered="1"/>
  <pageMargins left="0.7" right="0.7" top="0.75" bottom="0.75" header="0.3" footer="0.3"/>
  <pageSetup orientation="portrait" paperSize="9" scale="93" fitToHeight="0"/>
  <headerFooter>
    <oddHeader>&amp;R発行日 &amp;D</oddHeader>
    <oddFooter>&amp;R&amp;P/&amp;N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sh608</dc:creator>
  <dcterms:created xsi:type="dcterms:W3CDTF">2024-07-04T23:18:00Z</dcterms:created>
  <dcterms:modified xsi:type="dcterms:W3CDTF">2026-08-18T09:49:40Z</dcterms:modified>
  <cp:lastModifiedBy>SUNGJIN SHIN</cp:lastModifiedBy>
  <cp:lastPrinted>2025-08-08T07:46:56Z</cp:lastPrinted>
</cp:coreProperties>
</file>